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5"/>
    <sheet state="visible" name="T1_Uso_IA" sheetId="2" r:id="rId6"/>
    <sheet state="visible" name="T2_Obstaculos" sheetId="3" r:id="rId7"/>
    <sheet state="visible" name="T3_Avaliacao" sheetId="4" r:id="rId8"/>
    <sheet state="visible" name="T4_Recurso" sheetId="5" r:id="rId9"/>
    <sheet state="visible" name="T5_Autonomia" sheetId="6" r:id="rId10"/>
    <sheet state="visible" name="T6_Letramento" sheetId="7" r:id="rId11"/>
    <sheet state="visible" name="Matriz_Riscos" sheetId="8" r:id="rId12"/>
    <sheet state="visible" name="Analise_Comparativa" sheetId="9" r:id="rId13"/>
    <sheet state="visible" name="Analise_Qualitativa" sheetId="10" r:id="rId14"/>
  </sheets>
  <definedNames/>
  <calcPr/>
</workbook>
</file>

<file path=xl/sharedStrings.xml><?xml version="1.0" encoding="utf-8"?>
<sst xmlns="http://schemas.openxmlformats.org/spreadsheetml/2006/main" count="212" uniqueCount="143">
  <si>
    <t>RESULTADOS DA PESQUISA</t>
  </si>
  <si>
    <t>IA e Inclusão Digital de Idosos e Pessoas com Deficiência (PCDs)</t>
  </si>
  <si>
    <t>n = 13 respondentes  |  Escala de Risco: 1 = Baixo · 2 = Médio · 3 = Alto</t>
  </si>
  <si>
    <t>Utilizam bastante IA</t>
  </si>
  <si>
    <t>Ajudam bastante</t>
  </si>
  <si>
    <t>Plataformas medianas</t>
  </si>
  <si>
    <t>Risco crítico (P×I=9)</t>
  </si>
  <si>
    <t>69,2%</t>
  </si>
  <si>
    <t>53,8%</t>
  </si>
  <si>
    <t>2 de 4</t>
  </si>
  <si>
    <t>RESUMO DAS 6 QUESTÕES QUANTITATIVAS</t>
  </si>
  <si>
    <t>Questão / Tabela</t>
  </si>
  <si>
    <t>Alternativa Dominante</t>
  </si>
  <si>
    <t>Freq. Abs. (f)</t>
  </si>
  <si>
    <t>Total (n)</t>
  </si>
  <si>
    <t>Aba Detalhada</t>
  </si>
  <si>
    <t>Tab. 1 – Uso da IA para acessibilidade</t>
  </si>
  <si>
    <t>Utilizam bastante</t>
  </si>
  <si>
    <t>T1_Uso_IA</t>
  </si>
  <si>
    <t>Tab. 2 – Obstáculos para Inclusão Digital</t>
  </si>
  <si>
    <t>Todas as anteriores</t>
  </si>
  <si>
    <t>T2_Obstaculos</t>
  </si>
  <si>
    <t>Tab. 3 – Avaliação de plataformas com IA</t>
  </si>
  <si>
    <t>Medianamente acessíveis</t>
  </si>
  <si>
    <t>T3_Avaliacao</t>
  </si>
  <si>
    <t>Tab. 4 – Recurso de IA mais útil</t>
  </si>
  <si>
    <t>Telas adaptam à visão</t>
  </si>
  <si>
    <t>T4_Recurso</t>
  </si>
  <si>
    <t>Tab. 5 – Impacto da IA na autonomia</t>
  </si>
  <si>
    <t>T5_Autonomia</t>
  </si>
  <si>
    <t>Tab. 6 – Influência do Letramento Digital</t>
  </si>
  <si>
    <t>Influência bastante</t>
  </si>
  <si>
    <t>T6_Letramento</t>
  </si>
  <si>
    <t>MATRIZ DE RISCOS – SÍNTESE</t>
  </si>
  <si>
    <t>Dimensão</t>
  </si>
  <si>
    <t>Probabilidade (1-3)</t>
  </si>
  <si>
    <t>Impacto (1-3)</t>
  </si>
  <si>
    <t>Nível</t>
  </si>
  <si>
    <t>Ação Prioritária</t>
  </si>
  <si>
    <t>Políticas Institucionais</t>
  </si>
  <si>
    <t>CRÍTICO</t>
  </si>
  <si>
    <t>Políticas LGPD + auditorias</t>
  </si>
  <si>
    <t>Usabilidade / Interface</t>
  </si>
  <si>
    <t>ALTO</t>
  </si>
  <si>
    <t>Suporte e Infraestrutura</t>
  </si>
  <si>
    <t>MÉDIO</t>
  </si>
  <si>
    <t>Suporte técnico especializado</t>
  </si>
  <si>
    <t>Letramento Digital</t>
  </si>
  <si>
    <t>Programas de capacitação digital</t>
  </si>
  <si>
    <t>Síntese crítica: A IA cumpre papel como tecnologia assistiva pontual, mas perde eficácia emancipatória em ecossistemas sem regulação de dados, governança de TI e letramento continuado.</t>
  </si>
  <si>
    <t>Tabela 1 – Uso da IA para Acessibilidade</t>
  </si>
  <si>
    <t>Com que frequência você utiliza recursos de Inteligência Artificial para acessibilidade? (n=13)</t>
  </si>
  <si>
    <t>Alternativa</t>
  </si>
  <si>
    <t>Frequência Absoluta (f)</t>
  </si>
  <si>
    <t>Frequência Relativa (%)</t>
  </si>
  <si>
    <t>Verificação (f/Total)</t>
  </si>
  <si>
    <t>Não utilizam</t>
  </si>
  <si>
    <t>Utilizam pouco</t>
  </si>
  <si>
    <t>Utilizam moderadamente</t>
  </si>
  <si>
    <t>Não sei opinar</t>
  </si>
  <si>
    <t>Total</t>
  </si>
  <si>
    <t>100,0%</t>
  </si>
  <si>
    <t>Gráfico original (fonte: PDF do projeto)</t>
  </si>
  <si>
    <t>Tabela 2 – Principais Obstáculos para a Inclusão Digital</t>
  </si>
  <si>
    <t>Quais são os principais obstáculos que você enfrenta para a inclusão digital? (n=13)</t>
  </si>
  <si>
    <t>Falta de acessibilidade</t>
  </si>
  <si>
    <t>Dificuldade no uso da tecnologia</t>
  </si>
  <si>
    <t>Falta de suporte técnico</t>
  </si>
  <si>
    <t>Problemas de segurança digital</t>
  </si>
  <si>
    <t>Tabela 3 – Avaliação dos Idosos sobre Plataformas com IA</t>
  </si>
  <si>
    <t>Como você avalia as plataformas digitais baseadas em IA quanto à usabilidade e segurança? (n=13)</t>
  </si>
  <si>
    <t>Difíceis e inseguras</t>
  </si>
  <si>
    <t>Difíceis, mas seguras</t>
  </si>
  <si>
    <t>Fáceis e confiáveis</t>
  </si>
  <si>
    <t>Tabela 4 – Recurso de IA Considerado Mais Útil</t>
  </si>
  <si>
    <t>Qual recurso de IA você considera mais útil para sua acessibilidade? (n=13)</t>
  </si>
  <si>
    <t>Comandos por voz</t>
  </si>
  <si>
    <t>Tradução ou leitura de texto</t>
  </si>
  <si>
    <t>Telas que se adaptam à visão</t>
  </si>
  <si>
    <t>Reconhecimento facial (login)</t>
  </si>
  <si>
    <t>Nenhum destes</t>
  </si>
  <si>
    <t>Tabela 5 – Impacto da IA na Autonomia dos Usuários</t>
  </si>
  <si>
    <t>Em que medida os recursos de IA ajudam na sua autonomia digital? (n=13)</t>
  </si>
  <si>
    <t>Não ajudam</t>
  </si>
  <si>
    <t>Ajudam um pouco</t>
  </si>
  <si>
    <t>Ajudam moderadamente</t>
  </si>
  <si>
    <t>Tabela 6 – Influência do Letramento Digital no Acesso</t>
  </si>
  <si>
    <t>O letramento digital influencia o acesso e uso das plataformas com IA? (n=13)</t>
  </si>
  <si>
    <t>Não influência</t>
  </si>
  <si>
    <t>Influência pouco</t>
  </si>
  <si>
    <t>Influência moderadamente</t>
  </si>
  <si>
    <t>MATRIZ DE RISCOS QUALITATIVOS – DADOS DE CAMPO</t>
  </si>
  <si>
    <t>Escala: 1 = Baixo  |  2 = Médio  |  3 = Alto  |  Score de Risco = Probabilidade × Impacto</t>
  </si>
  <si>
    <t>Dimensão Avaliada</t>
  </si>
  <si>
    <t>Fato / Evidência Identificada</t>
  </si>
  <si>
    <t>Risco Associado</t>
  </si>
  <si>
    <t>Probabilidade
(1-3)</t>
  </si>
  <si>
    <t>Impacto
(1-3)</t>
  </si>
  <si>
    <t>Score
(P×I)</t>
  </si>
  <si>
    <t>Nível de Risco</t>
  </si>
  <si>
    <t>Ação Proposta / Mitigação</t>
  </si>
  <si>
    <t>O coordenador informou não possuir conhecimento sobre políticas específicas de conformidade digital e LGPD voltadas ao uso de plataformas educacionais de terceiros.</t>
  </si>
  <si>
    <t>Vulnerabilidade na proteção de dados sensíveis e falas de conformidade com a LGPD</t>
  </si>
  <si>
    <t>Criar políticas institucionais específicas de segurança e acessibilidade digital, com auditorias periódicas e capacitação sobre LGPD</t>
  </si>
  <si>
    <t>Embora existam recursos integrados de acessibilidade, não há dados consolidados sobre a interação de idosos e PCDs com sistemas institucionais.</t>
  </si>
  <si>
    <t>Exclusão digital por interfaces pouco intuitivas e ausência de monitoramento da experiência do usuário</t>
  </si>
  <si>
    <t>Implementar avaliações de UX/UI acessível e monitoramento da experiência de usuários vulneráveis</t>
  </si>
  <si>
    <t>O coordenador relatou desconhecimento sobre o nível de autonomia dos usuários e inexistência de barreiras técnicas formalmente mapeadas.</t>
  </si>
  <si>
    <t>Dependência de suporte informal e dificuldade de resolução de problemas de acessibilidade</t>
  </si>
  <si>
    <t>Estruturar suporte técnico especializado e canais de atendimento acessíveis para idosos e PCDs</t>
  </si>
  <si>
    <t>Os resultados quantitativos apontam que o letramento digital influencia significativamente o acesso e a autonomia dos usuários.</t>
  </si>
  <si>
    <t>Baixa autonomia digital, dificuldades de navegação e aumento da exclusão tecnológica</t>
  </si>
  <si>
    <t>Desenvolver programas de capacidade digital e tutoriais acessíveis com apoio de IA e tecnologias assistivas</t>
  </si>
  <si>
    <t>Legenda de Nível:   CRÍTICO (Score 9) = Vermelho   |   ALTO (Score 6) = Laranja   |   MÉDIO (Score 4) = Amarelo   |   BAIXO (Score ≤3) = Verde</t>
  </si>
  <si>
    <t>ANÁLISE COMPARATIVA – FREQUÊNCIA DOMINANTE POR QUESTÃO</t>
  </si>
  <si>
    <t>Comparação das alternativas mais frequentes em cada tabela (n=13 por questão)</t>
  </si>
  <si>
    <t>Tabela / Questão</t>
  </si>
  <si>
    <t>Freq. Rel. (%)</t>
  </si>
  <si>
    <t>2ª Alternativa</t>
  </si>
  <si>
    <t>Freq. Rel. 2ª (%)</t>
  </si>
  <si>
    <t>Tab.1 – Uso da IA para acessibilidade</t>
  </si>
  <si>
    <t>Tab.2 – Obstáculos Inclusão Digital</t>
  </si>
  <si>
    <t>Dificuldade tecnologia</t>
  </si>
  <si>
    <t>Tab.3 – Avaliação plataformas IA</t>
  </si>
  <si>
    <t>Tab.4 – Recurso de IA mais útil</t>
  </si>
  <si>
    <t>Tab.5 – Impacto IA na autonomia</t>
  </si>
  <si>
    <t>Tab.6 – Influência Letramento Digital</t>
  </si>
  <si>
    <t>ANÁLISE QUALITATIVA – QUADROS TEMÁTICOS DE CONTEÚDO</t>
  </si>
  <si>
    <t>Síntese do relato do coordenador pedagógico de campo – Triangulação quali-quanti</t>
  </si>
  <si>
    <t>Dimensão Temática</t>
  </si>
  <si>
    <t>Evidência / Relato de Campo</t>
  </si>
  <si>
    <t>Implicação Prática</t>
  </si>
  <si>
    <t>Coordenador informou ausência de políticas específicas de conformidade digital e LGPD para plataformas educacionais de terceiros.</t>
  </si>
  <si>
    <t>Risco crítico de exposição de dados sensíveis de usuários vulneráveis sem proteção regulatória adequada.</t>
  </si>
  <si>
    <t>Existem recursos de acessibilidade integrados, porém sem dados consolidados sobre a interação de idosos e PCDs com sistemas institucionais.</t>
  </si>
  <si>
    <t>Exclusão digital secundária causada por interfaces pouco intuitivas e ausência de monitoramento de experiência.</t>
  </si>
  <si>
    <t>Desconhecimento institucional sobre autonomia dos usuários e inexistência de mapeamento formal de barreiras técnicas.</t>
  </si>
  <si>
    <t>Dependência de suporte informal e dificuldade de resolução de problemas de acessibilidade de forma sistemática.</t>
  </si>
  <si>
    <t>Resultados quantitativos confirmam que o letramento digital influencia significativamente o acesso e autonomia (69,2% 'bastante').</t>
  </si>
  <si>
    <t>Necessidade urgente de programas continuados de capacitação digital com suporte de IA e tecnologias assistivas.</t>
  </si>
  <si>
    <t>Síntese Crítica</t>
  </si>
  <si>
    <t>A IA cumpre papel como tecnologia assistiva pontual, mas perde eficácia emancipatória em ecossistemas sem regulação de dados e governança de TI.</t>
  </si>
  <si>
    <t>Desenvolvimento de ambientes digitais inclusivos requer acessibilidade e segurança como pilares nativos, não complementares.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</si>
</sst>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9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2.0"/>
      <color rgb="FFFFFFFF"/>
      <name val="Calibri"/>
    </font>
    <font>
      <sz val="10.0"/>
      <color rgb="FF1F3864"/>
      <name val="Calibri"/>
    </font>
    <font>
      <sz val="8.0"/>
      <color rgb="FF1F3864"/>
      <name val="Calibri"/>
    </font>
    <font>
      <sz val="8.0"/>
      <color rgb="FFFFFFFF"/>
      <name val="Calibri"/>
    </font>
    <font>
      <b/>
      <sz val="18.0"/>
      <color rgb="FF1F3864"/>
      <name val="Calibri"/>
    </font>
    <font>
      <b/>
      <sz val="18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i/>
      <sz val="9.0"/>
      <color rgb="FF595959"/>
      <name val="Calibri"/>
    </font>
    <font>
      <b/>
      <sz val="13.0"/>
      <color rgb="FFFFFFFF"/>
      <name val="Calibri"/>
    </font>
    <font>
      <i/>
      <sz val="10.0"/>
      <color rgb="FF1F3864"/>
      <name val="Calibri"/>
    </font>
    <font>
      <i/>
      <sz val="10.0"/>
      <color rgb="FF595959"/>
      <name val="Calibri"/>
    </font>
    <font>
      <b/>
      <sz val="10.0"/>
      <color rgb="FF000000"/>
      <name val="Calibri"/>
    </font>
    <font>
      <b/>
      <sz val="10.0"/>
      <color rgb="FF1F3864"/>
      <name val="Calibri"/>
    </font>
    <font>
      <b/>
      <sz val="14.0"/>
      <color rgb="FFFFFFFF"/>
      <name val="Calibri"/>
    </font>
    <font>
      <i/>
      <sz val="10.0"/>
      <color rgb="FFC00000"/>
      <name val="Calibri"/>
    </font>
    <font>
      <sz val="9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i/>
      <sz val="10.0"/>
      <color rgb="FF375623"/>
      <name val="Calibri"/>
    </font>
    <font>
      <i/>
      <sz val="10.0"/>
      <color rgb="FF7030A0"/>
      <name val="Calibri"/>
    </font>
    <font>
      <b/>
      <sz val="9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4B942"/>
        <bgColor rgb="FFF4B942"/>
      </patternFill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7F00"/>
        <bgColor rgb="FFFF7F00"/>
      </patternFill>
    </fill>
    <fill>
      <patternFill patternType="solid">
        <fgColor rgb="FFFFD700"/>
        <bgColor rgb="FFFFD700"/>
      </patternFill>
    </fill>
    <fill>
      <patternFill patternType="solid">
        <fgColor rgb="FFD6E4F0"/>
        <bgColor rgb="FFD6E4F0"/>
      </patternFill>
    </fill>
    <fill>
      <patternFill patternType="solid">
        <fgColor rgb="FFC00000"/>
        <bgColor rgb="FFC00000"/>
      </patternFill>
    </fill>
    <fill>
      <patternFill patternType="solid">
        <fgColor rgb="FFFFE0E0"/>
        <bgColor rgb="FFFFE0E0"/>
      </patternFill>
    </fill>
    <fill>
      <patternFill patternType="solid">
        <fgColor rgb="FFE2EFDA"/>
        <bgColor rgb="FFE2EFDA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EAD1FF"/>
        <bgColor rgb="FFEAD1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bottom"/>
    </xf>
    <xf borderId="4" fillId="6" fontId="6" numFmtId="0" xfId="0" applyAlignment="1" applyBorder="1" applyFill="1" applyFont="1">
      <alignment horizontal="center" vertical="bottom"/>
    </xf>
    <xf borderId="4" fillId="7" fontId="6" numFmtId="0" xfId="0" applyAlignment="1" applyBorder="1" applyFill="1" applyFont="1">
      <alignment horizontal="center" vertical="bottom"/>
    </xf>
    <xf borderId="4" fillId="8" fontId="6" numFmtId="0" xfId="0" applyAlignment="1" applyBorder="1" applyFill="1" applyFont="1">
      <alignment horizontal="center" vertical="bottom"/>
    </xf>
    <xf borderId="4" fillId="5" fontId="7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vertical="center"/>
    </xf>
    <xf borderId="4" fillId="5" fontId="9" numFmtId="0" xfId="0" applyBorder="1" applyFont="1"/>
    <xf borderId="4" fillId="6" fontId="9" numFmtId="0" xfId="0" applyBorder="1" applyFont="1"/>
    <xf borderId="4" fillId="7" fontId="9" numFmtId="0" xfId="0" applyBorder="1" applyFont="1"/>
    <xf borderId="4" fillId="8" fontId="9" numFmtId="0" xfId="0" applyBorder="1" applyFont="1"/>
    <xf borderId="5" fillId="2" fontId="10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3" fontId="11" numFmtId="0" xfId="0" applyAlignment="1" applyBorder="1" applyFont="1">
      <alignment horizontal="center" shrinkToFit="0" vertical="center" wrapText="1"/>
    </xf>
    <xf borderId="8" fillId="9" fontId="12" numFmtId="0" xfId="0" applyAlignment="1" applyBorder="1" applyFill="1" applyFont="1">
      <alignment horizontal="left" shrinkToFit="0" vertical="center" wrapText="1"/>
    </xf>
    <xf borderId="8" fillId="9" fontId="12" numFmtId="0" xfId="0" applyAlignment="1" applyBorder="1" applyFont="1">
      <alignment horizontal="center" shrinkToFit="0" vertical="center" wrapText="1"/>
    </xf>
    <xf borderId="8" fillId="9" fontId="13" numFmtId="0" xfId="0" applyAlignment="1" applyBorder="1" applyFont="1">
      <alignment horizontal="center" shrinkToFit="0" vertical="center" wrapText="1"/>
    </xf>
    <xf borderId="8" fillId="10" fontId="12" numFmtId="0" xfId="0" applyAlignment="1" applyBorder="1" applyFill="1" applyFont="1">
      <alignment horizontal="left" shrinkToFit="0" vertical="center" wrapText="1"/>
    </xf>
    <xf borderId="8" fillId="10" fontId="12" numFmtId="0" xfId="0" applyAlignment="1" applyBorder="1" applyFont="1">
      <alignment horizontal="center" shrinkToFit="0" vertical="center" wrapText="1"/>
    </xf>
    <xf borderId="8" fillId="10" fontId="14" numFmtId="0" xfId="0" applyAlignment="1" applyBorder="1" applyFont="1">
      <alignment horizontal="center" shrinkToFit="0" vertical="center" wrapText="1"/>
    </xf>
    <xf borderId="8" fillId="8" fontId="11" numFmtId="0" xfId="0" applyAlignment="1" applyBorder="1" applyFont="1">
      <alignment horizontal="center" shrinkToFit="0" vertical="center" wrapText="1"/>
    </xf>
    <xf borderId="8" fillId="11" fontId="11" numFmtId="0" xfId="0" applyAlignment="1" applyBorder="1" applyFill="1" applyFont="1">
      <alignment horizontal="center" shrinkToFit="0" vertical="center" wrapText="1"/>
    </xf>
    <xf borderId="8" fillId="12" fontId="11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1" fillId="2" fontId="16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left" shrinkToFit="0" vertical="center" wrapText="1"/>
    </xf>
    <xf borderId="8" fillId="9" fontId="12" numFmtId="0" xfId="0" applyAlignment="1" applyBorder="1" applyFont="1">
      <alignment horizontal="left" vertical="center"/>
    </xf>
    <xf borderId="8" fillId="9" fontId="12" numFmtId="1" xfId="0" applyAlignment="1" applyBorder="1" applyFont="1" applyNumberFormat="1">
      <alignment horizontal="center" vertical="center"/>
    </xf>
    <xf borderId="8" fillId="9" fontId="12" numFmtId="164" xfId="0" applyAlignment="1" applyBorder="1" applyFont="1" applyNumberFormat="1">
      <alignment horizontal="center" vertical="center"/>
    </xf>
    <xf borderId="8" fillId="9" fontId="18" numFmtId="164" xfId="0" applyAlignment="1" applyBorder="1" applyFont="1" applyNumberFormat="1">
      <alignment horizontal="center" vertical="center"/>
    </xf>
    <xf borderId="8" fillId="10" fontId="12" numFmtId="0" xfId="0" applyAlignment="1" applyBorder="1" applyFont="1">
      <alignment horizontal="left" vertical="center"/>
    </xf>
    <xf borderId="8" fillId="10" fontId="12" numFmtId="1" xfId="0" applyAlignment="1" applyBorder="1" applyFont="1" applyNumberFormat="1">
      <alignment horizontal="center" vertical="center"/>
    </xf>
    <xf borderId="8" fillId="10" fontId="12" numFmtId="164" xfId="0" applyAlignment="1" applyBorder="1" applyFont="1" applyNumberFormat="1">
      <alignment horizontal="center" vertical="center"/>
    </xf>
    <xf borderId="8" fillId="10" fontId="18" numFmtId="164" xfId="0" applyAlignment="1" applyBorder="1" applyFont="1" applyNumberFormat="1">
      <alignment horizontal="center" vertical="center"/>
    </xf>
    <xf borderId="8" fillId="13" fontId="19" numFmtId="0" xfId="0" applyAlignment="1" applyBorder="1" applyFill="1" applyFont="1">
      <alignment horizontal="left" vertical="center"/>
    </xf>
    <xf borderId="8" fillId="13" fontId="19" numFmtId="1" xfId="0" applyAlignment="1" applyBorder="1" applyFont="1" applyNumberFormat="1">
      <alignment horizontal="center" vertical="center"/>
    </xf>
    <xf borderId="8" fillId="13" fontId="19" numFmtId="164" xfId="0" applyAlignment="1" applyBorder="1" applyFont="1" applyNumberFormat="1">
      <alignment horizontal="center" vertical="center"/>
    </xf>
    <xf borderId="8" fillId="13" fontId="19" numFmtId="0" xfId="0" applyAlignment="1" applyBorder="1" applyFont="1">
      <alignment horizontal="center" vertical="center"/>
    </xf>
    <xf borderId="1" fillId="4" fontId="20" numFmtId="0" xfId="0" applyAlignment="1" applyBorder="1" applyFont="1">
      <alignment horizontal="center" vertical="center"/>
    </xf>
    <xf borderId="1" fillId="14" fontId="21" numFmtId="0" xfId="0" applyAlignment="1" applyBorder="1" applyFill="1" applyFont="1">
      <alignment horizontal="center" vertical="center"/>
    </xf>
    <xf borderId="1" fillId="15" fontId="22" numFmtId="0" xfId="0" applyAlignment="1" applyBorder="1" applyFill="1" applyFont="1">
      <alignment horizontal="center" vertical="center"/>
    </xf>
    <xf borderId="8" fillId="14" fontId="11" numFmtId="0" xfId="0" applyAlignment="1" applyBorder="1" applyFont="1">
      <alignment horizontal="center" shrinkToFit="0" vertical="center" wrapText="1"/>
    </xf>
    <xf borderId="8" fillId="9" fontId="23" numFmtId="0" xfId="0" applyAlignment="1" applyBorder="1" applyFont="1">
      <alignment horizontal="left" shrinkToFit="0" vertical="center" wrapText="1"/>
    </xf>
    <xf borderId="8" fillId="9" fontId="24" numFmtId="0" xfId="0" applyAlignment="1" applyBorder="1" applyFont="1">
      <alignment horizontal="center" shrinkToFit="0" vertical="center" wrapText="1"/>
    </xf>
    <xf borderId="8" fillId="9" fontId="25" numFmtId="1" xfId="0" applyAlignment="1" applyBorder="1" applyFont="1" applyNumberFormat="1">
      <alignment horizontal="center" shrinkToFit="0" vertical="center" wrapText="1"/>
    </xf>
    <xf borderId="8" fillId="10" fontId="23" numFmtId="0" xfId="0" applyAlignment="1" applyBorder="1" applyFont="1">
      <alignment horizontal="left" shrinkToFit="0" vertical="center" wrapText="1"/>
    </xf>
    <xf borderId="8" fillId="10" fontId="24" numFmtId="0" xfId="0" applyAlignment="1" applyBorder="1" applyFont="1">
      <alignment horizontal="center" shrinkToFit="0" vertical="center" wrapText="1"/>
    </xf>
    <xf borderId="8" fillId="10" fontId="25" numFmtId="1" xfId="0" applyAlignment="1" applyBorder="1" applyFont="1" applyNumberFormat="1">
      <alignment horizontal="center" shrinkToFit="0" vertical="center" wrapText="1"/>
    </xf>
    <xf borderId="1" fillId="9" fontId="15" numFmtId="0" xfId="0" applyAlignment="1" applyBorder="1" applyFont="1">
      <alignment horizontal="center" vertical="center"/>
    </xf>
    <xf borderId="1" fillId="6" fontId="16" numFmtId="0" xfId="0" applyAlignment="1" applyBorder="1" applyFont="1">
      <alignment horizontal="center" vertical="center"/>
    </xf>
    <xf borderId="1" fillId="16" fontId="26" numFmtId="0" xfId="0" applyAlignment="1" applyBorder="1" applyFill="1" applyFont="1">
      <alignment horizontal="center" vertical="center"/>
    </xf>
    <xf borderId="8" fillId="17" fontId="11" numFmtId="0" xfId="0" applyAlignment="1" applyBorder="1" applyFill="1" applyFont="1">
      <alignment horizontal="center" shrinkToFit="0" vertical="center" wrapText="1"/>
    </xf>
    <xf borderId="8" fillId="16" fontId="12" numFmtId="0" xfId="0" applyAlignment="1" applyBorder="1" applyFont="1">
      <alignment horizontal="left" shrinkToFit="0" vertical="center" wrapText="1"/>
    </xf>
    <xf borderId="8" fillId="16" fontId="12" numFmtId="0" xfId="0" applyAlignment="1" applyBorder="1" applyFont="1">
      <alignment horizontal="center" shrinkToFit="0" vertical="center" wrapText="1"/>
    </xf>
    <xf borderId="8" fillId="16" fontId="12" numFmtId="164" xfId="0" applyAlignment="1" applyBorder="1" applyFont="1" applyNumberFormat="1">
      <alignment horizontal="center" shrinkToFit="0" vertical="center" wrapText="1"/>
    </xf>
    <xf borderId="8" fillId="10" fontId="12" numFmtId="164" xfId="0" applyAlignment="1" applyBorder="1" applyFont="1" applyNumberFormat="1">
      <alignment horizontal="center" shrinkToFit="0" vertical="center" wrapText="1"/>
    </xf>
    <xf borderId="1" fillId="18" fontId="16" numFmtId="0" xfId="0" applyAlignment="1" applyBorder="1" applyFill="1" applyFont="1">
      <alignment horizontal="center" vertical="center"/>
    </xf>
    <xf borderId="1" fillId="19" fontId="27" numFmtId="0" xfId="0" applyAlignment="1" applyBorder="1" applyFill="1" applyFont="1">
      <alignment horizontal="center" vertical="center"/>
    </xf>
    <xf borderId="8" fillId="18" fontId="11" numFmtId="0" xfId="0" applyAlignment="1" applyBorder="1" applyFont="1">
      <alignment horizontal="center" shrinkToFit="0" vertical="center" wrapText="1"/>
    </xf>
    <xf borderId="8" fillId="19" fontId="28" numFmtId="0" xfId="0" applyAlignment="1" applyBorder="1" applyFont="1">
      <alignment horizontal="left" shrinkToFit="0" vertical="center" wrapText="1"/>
    </xf>
    <xf borderId="8" fillId="19" fontId="23" numFmtId="0" xfId="0" applyAlignment="1" applyBorder="1" applyFont="1">
      <alignment horizontal="left" shrinkToFit="0" vertical="center" wrapText="1"/>
    </xf>
    <xf borderId="8" fillId="10" fontId="2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b/>
        <name val="Calibri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T1_Uso_IA!$B$5:$B$9</c:f>
            </c:strRef>
          </c:cat>
          <c:val>
            <c:numRef>
              <c:f>T1_Uso_IA!$C$5:$C$9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T2_Obstaculos!$B$5:$B$9</c:f>
            </c:strRef>
          </c:cat>
          <c:val>
            <c:numRef>
              <c:f>T2_Obstaculos!$C$5:$C$9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T3_Avaliacao!$B$5:$B$9</c:f>
            </c:strRef>
          </c:cat>
          <c:val>
            <c:numRef>
              <c:f>T3_Avaliacao!$C$5:$C$9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T4_Recurso!$B$5:$B$9</c:f>
            </c:strRef>
          </c:cat>
          <c:val>
            <c:numRef>
              <c:f>T4_Recurso!$C$5:$C$9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T5_Autonomia!$B$5:$B$9</c:f>
            </c:strRef>
          </c:cat>
          <c:val>
            <c:numRef>
              <c:f>T5_Autonomia!$C$5:$C$9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T6_Letramento!$B$5:$B$9</c:f>
            </c:strRef>
          </c:cat>
          <c:val>
            <c:numRef>
              <c:f>T6_Letramento!$C$5:$C$9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Probabilidade × Impacto por Dimensão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Matriz_Riscos!$E$4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Matriz_Riscos!$B$5:$B$8</c:f>
            </c:strRef>
          </c:cat>
          <c:val>
            <c:numRef>
              <c:f>Matriz_Riscos!$E$5:$E$8</c:f>
              <c:numCache/>
            </c:numRef>
          </c:val>
        </c:ser>
        <c:ser>
          <c:idx val="1"/>
          <c:order val="1"/>
          <c:tx>
            <c:strRef>
              <c:f>Matriz_Riscos!$F$4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Matriz_Riscos!$B$5:$B$8</c:f>
            </c:strRef>
          </c:cat>
          <c:val>
            <c:numRef>
              <c:f>Matriz_Riscos!$F$5:$F$8</c:f>
              <c:numCache/>
            </c:numRef>
          </c:val>
        </c:ser>
        <c:axId val="2031694625"/>
        <c:axId val="424644603"/>
      </c:barChart>
      <c:catAx>
        <c:axId val="2031694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Dimensão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644603"/>
      </c:catAx>
      <c:valAx>
        <c:axId val="424644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Nota (1-3)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694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Frequência Relativa da Alternativa Dominante por Questão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Analise_Comparativa!$E$4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Analise_Comparativa!$B$5:$B$10</c:f>
            </c:strRef>
          </c:cat>
          <c:val>
            <c:numRef>
              <c:f>Analise_Comparativa!$E$5:$E$10</c:f>
              <c:numCache/>
            </c:numRef>
          </c:val>
        </c:ser>
        <c:axId val="21942721"/>
        <c:axId val="840289239"/>
      </c:barChart>
      <c:catAx>
        <c:axId val="21942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289239"/>
      </c:catAx>
      <c:valAx>
        <c:axId val="840289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Frequência Relativa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42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038725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038725" cy="3590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038725" cy="3590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038725" cy="3590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038725" cy="3590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6477000" cy="43148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7191375" cy="43148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6" width="14.0"/>
    <col customWidth="1" min="7" max="25" width="8.71"/>
  </cols>
  <sheetData>
    <row r="1" ht="18.0" customHeight="1">
      <c r="B1" s="1" t="s">
        <v>0</v>
      </c>
      <c r="C1" s="2"/>
      <c r="D1" s="2"/>
      <c r="E1" s="2"/>
      <c r="F1" s="3"/>
    </row>
    <row r="2" ht="18.0" customHeight="1">
      <c r="B2" s="4" t="s">
        <v>1</v>
      </c>
      <c r="C2" s="2"/>
      <c r="D2" s="2"/>
      <c r="E2" s="2"/>
      <c r="F2" s="3"/>
    </row>
    <row r="3" ht="18.0" customHeight="1">
      <c r="B3" s="5" t="s">
        <v>2</v>
      </c>
      <c r="C3" s="2"/>
      <c r="D3" s="2"/>
      <c r="E3" s="2"/>
      <c r="F3" s="3"/>
    </row>
    <row r="4" ht="18.0" customHeight="1"/>
    <row r="5" ht="13.5" customHeight="1">
      <c r="C5" s="6" t="s">
        <v>3</v>
      </c>
      <c r="D5" s="7" t="s">
        <v>4</v>
      </c>
      <c r="E5" s="8" t="s">
        <v>5</v>
      </c>
      <c r="F5" s="9" t="s">
        <v>6</v>
      </c>
    </row>
    <row r="6" ht="25.5" customHeight="1">
      <c r="C6" s="10" t="s">
        <v>7</v>
      </c>
      <c r="D6" s="11" t="s">
        <v>7</v>
      </c>
      <c r="E6" s="12" t="s">
        <v>8</v>
      </c>
      <c r="F6" s="13" t="s">
        <v>9</v>
      </c>
    </row>
    <row r="7" ht="13.5" customHeight="1">
      <c r="C7" s="14"/>
      <c r="D7" s="15"/>
      <c r="E7" s="16"/>
      <c r="F7" s="17"/>
    </row>
    <row r="8" ht="18.0" customHeight="1"/>
    <row r="9" ht="19.5" customHeight="1">
      <c r="B9" s="18" t="s">
        <v>10</v>
      </c>
      <c r="C9" s="19"/>
      <c r="D9" s="19"/>
      <c r="E9" s="19"/>
      <c r="F9" s="20"/>
    </row>
    <row r="10" ht="31.5" customHeight="1">
      <c r="B10" s="21" t="s">
        <v>11</v>
      </c>
      <c r="C10" s="21" t="s">
        <v>12</v>
      </c>
      <c r="D10" s="21" t="s">
        <v>13</v>
      </c>
      <c r="E10" s="21" t="s">
        <v>14</v>
      </c>
      <c r="F10" s="21" t="s">
        <v>15</v>
      </c>
    </row>
    <row r="11" ht="19.5" customHeight="1">
      <c r="B11" s="22" t="s">
        <v>16</v>
      </c>
      <c r="C11" s="22" t="s">
        <v>17</v>
      </c>
      <c r="D11" s="23">
        <v>9.0</v>
      </c>
      <c r="E11" s="23">
        <v>13.0</v>
      </c>
      <c r="F11" s="24" t="s">
        <v>18</v>
      </c>
    </row>
    <row r="12" ht="19.5" customHeight="1">
      <c r="B12" s="25" t="s">
        <v>19</v>
      </c>
      <c r="C12" s="25" t="s">
        <v>20</v>
      </c>
      <c r="D12" s="26">
        <v>9.0</v>
      </c>
      <c r="E12" s="26">
        <v>13.0</v>
      </c>
      <c r="F12" s="27" t="s">
        <v>21</v>
      </c>
    </row>
    <row r="13" ht="19.5" customHeight="1">
      <c r="B13" s="22" t="s">
        <v>22</v>
      </c>
      <c r="C13" s="22" t="s">
        <v>23</v>
      </c>
      <c r="D13" s="23">
        <v>7.0</v>
      </c>
      <c r="E13" s="23">
        <v>13.0</v>
      </c>
      <c r="F13" s="24" t="s">
        <v>24</v>
      </c>
    </row>
    <row r="14" ht="19.5" customHeight="1">
      <c r="B14" s="25" t="s">
        <v>25</v>
      </c>
      <c r="C14" s="25" t="s">
        <v>26</v>
      </c>
      <c r="D14" s="26">
        <v>5.0</v>
      </c>
      <c r="E14" s="26">
        <v>13.0</v>
      </c>
      <c r="F14" s="27" t="s">
        <v>27</v>
      </c>
    </row>
    <row r="15" ht="19.5" customHeight="1">
      <c r="B15" s="22" t="s">
        <v>28</v>
      </c>
      <c r="C15" s="22" t="s">
        <v>4</v>
      </c>
      <c r="D15" s="23">
        <v>9.0</v>
      </c>
      <c r="E15" s="23">
        <v>13.0</v>
      </c>
      <c r="F15" s="24" t="s">
        <v>29</v>
      </c>
    </row>
    <row r="16" ht="19.5" customHeight="1">
      <c r="B16" s="25" t="s">
        <v>30</v>
      </c>
      <c r="C16" s="25" t="s">
        <v>31</v>
      </c>
      <c r="D16" s="26">
        <v>9.0</v>
      </c>
      <c r="E16" s="26">
        <v>13.0</v>
      </c>
      <c r="F16" s="27" t="s">
        <v>32</v>
      </c>
    </row>
    <row r="17" ht="18.0" customHeight="1"/>
    <row r="18" ht="7.5" customHeight="1"/>
    <row r="19" ht="19.5" customHeight="1">
      <c r="B19" s="18" t="s">
        <v>33</v>
      </c>
      <c r="C19" s="19"/>
      <c r="D19" s="19"/>
      <c r="E19" s="19"/>
      <c r="F19" s="20"/>
    </row>
    <row r="20" ht="31.5" customHeight="1">
      <c r="B20" s="21" t="s">
        <v>34</v>
      </c>
      <c r="C20" s="21" t="s">
        <v>35</v>
      </c>
      <c r="D20" s="21" t="s">
        <v>36</v>
      </c>
      <c r="E20" s="21" t="s">
        <v>37</v>
      </c>
      <c r="F20" s="21" t="s">
        <v>38</v>
      </c>
    </row>
    <row r="21" ht="21.75" customHeight="1">
      <c r="B21" s="22" t="s">
        <v>39</v>
      </c>
      <c r="C21" s="23">
        <v>3.0</v>
      </c>
      <c r="D21" s="23">
        <v>3.0</v>
      </c>
      <c r="E21" s="28" t="s">
        <v>40</v>
      </c>
      <c r="F21" s="23" t="s">
        <v>41</v>
      </c>
    </row>
    <row r="22" ht="21.75" customHeight="1">
      <c r="B22" s="25" t="s">
        <v>42</v>
      </c>
      <c r="C22" s="26">
        <v>2.0</v>
      </c>
      <c r="D22" s="26">
        <v>3.0</v>
      </c>
      <c r="E22" s="29" t="s">
        <v>43</v>
      </c>
      <c r="F22" s="23" t="s">
        <v>41</v>
      </c>
    </row>
    <row r="23" ht="21.75" customHeight="1">
      <c r="B23" s="22" t="s">
        <v>44</v>
      </c>
      <c r="C23" s="23">
        <v>2.0</v>
      </c>
      <c r="D23" s="23">
        <v>2.0</v>
      </c>
      <c r="E23" s="30" t="s">
        <v>45</v>
      </c>
      <c r="F23" s="23" t="s">
        <v>46</v>
      </c>
    </row>
    <row r="24" ht="21.75" customHeight="1">
      <c r="B24" s="25" t="s">
        <v>47</v>
      </c>
      <c r="C24" s="26">
        <v>3.0</v>
      </c>
      <c r="D24" s="26">
        <v>3.0</v>
      </c>
      <c r="E24" s="28" t="s">
        <v>40</v>
      </c>
      <c r="F24" s="26" t="s">
        <v>48</v>
      </c>
    </row>
    <row r="25" ht="18.0" customHeight="1"/>
    <row r="26" ht="18.0" customHeight="1"/>
    <row r="27" ht="27.75" customHeight="1">
      <c r="B27" s="31" t="s">
        <v>49</v>
      </c>
    </row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F1"/>
    <mergeCell ref="B2:F2"/>
    <mergeCell ref="B3:F3"/>
    <mergeCell ref="B9:F9"/>
    <mergeCell ref="B19:F19"/>
    <mergeCell ref="B27:F27"/>
  </mergeCells>
  <conditionalFormatting sqref="D21:D24">
    <cfRule type="colorScale" priority="1">
      <colorScale>
        <cfvo type="formula" val="1"/>
        <cfvo type="formula" val="2"/>
        <cfvo type="formula" val="3"/>
        <color rgb="FF00B050"/>
        <color rgb="FFFFD700"/>
        <color rgb="FFFF0000"/>
      </colorScale>
    </cfRule>
  </conditionalFormatting>
  <hyperlinks>
    <hyperlink r:id="rId1" location="T1_Uso_IA!A1" ref="F11"/>
    <hyperlink r:id="rId2" location="T2_Obstaculos!A1" ref="F12"/>
    <hyperlink r:id="rId3" location="T3_Avaliacao!A1" ref="F13"/>
    <hyperlink r:id="rId4" location="T4_Recurso!A1" ref="F14"/>
    <hyperlink r:id="rId5" location="T5_Autonomia!A1" ref="F15"/>
    <hyperlink r:id="rId6" location="T6_Letramento!A1" ref="F16"/>
  </hyperlinks>
  <printOptions/>
  <pageMargins bottom="0.75" footer="0.0" header="0.0" left="0.5" right="0.5" top="0.75"/>
  <pageSetup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22.0"/>
    <col customWidth="1" min="6" max="6" width="2.0"/>
    <col customWidth="1" min="7" max="26" width="8.71"/>
  </cols>
  <sheetData>
    <row r="1" ht="25.5" customHeight="1">
      <c r="B1" s="32" t="s">
        <v>50</v>
      </c>
      <c r="C1" s="2"/>
      <c r="D1" s="2"/>
      <c r="E1" s="3"/>
    </row>
    <row r="2" ht="21.75" customHeight="1">
      <c r="B2" s="33" t="s">
        <v>51</v>
      </c>
      <c r="C2" s="2"/>
      <c r="D2" s="2"/>
      <c r="E2" s="3"/>
    </row>
    <row r="3" ht="18.0" customHeight="1"/>
    <row r="4" ht="27.75" customHeight="1">
      <c r="B4" s="21" t="s">
        <v>52</v>
      </c>
      <c r="C4" s="21" t="s">
        <v>53</v>
      </c>
      <c r="D4" s="21" t="s">
        <v>54</v>
      </c>
      <c r="E4" s="21" t="s">
        <v>55</v>
      </c>
    </row>
    <row r="5" ht="19.5" customHeight="1">
      <c r="B5" s="34" t="s">
        <v>56</v>
      </c>
      <c r="C5" s="35">
        <v>0.0</v>
      </c>
      <c r="D5" s="36">
        <v>0.0</v>
      </c>
      <c r="E5" s="37">
        <f>IFERROR(C5/SUM(C5:C9),0)</f>
        <v>0</v>
      </c>
    </row>
    <row r="6" ht="19.5" customHeight="1">
      <c r="B6" s="38" t="s">
        <v>57</v>
      </c>
      <c r="C6" s="39">
        <v>1.0</v>
      </c>
      <c r="D6" s="40">
        <v>0.077</v>
      </c>
      <c r="E6" s="41">
        <f>IFERROR(C6/SUM(C5:C9),0)</f>
        <v>0.07692307692</v>
      </c>
    </row>
    <row r="7" ht="19.5" customHeight="1">
      <c r="B7" s="34" t="s">
        <v>58</v>
      </c>
      <c r="C7" s="35">
        <v>3.0</v>
      </c>
      <c r="D7" s="36">
        <v>0.231</v>
      </c>
      <c r="E7" s="37">
        <f>IFERROR(C7/SUM(C5:C9),0)</f>
        <v>0.2307692308</v>
      </c>
    </row>
    <row r="8" ht="19.5" customHeight="1">
      <c r="B8" s="38" t="s">
        <v>17</v>
      </c>
      <c r="C8" s="39">
        <v>9.0</v>
      </c>
      <c r="D8" s="40">
        <v>0.6920000000000001</v>
      </c>
      <c r="E8" s="41">
        <f>IFERROR(C8/SUM(C5:C9),0)</f>
        <v>0.6923076923</v>
      </c>
    </row>
    <row r="9" ht="19.5" customHeight="1">
      <c r="B9" s="34" t="s">
        <v>59</v>
      </c>
      <c r="C9" s="35">
        <v>0.0</v>
      </c>
      <c r="D9" s="36">
        <v>0.0</v>
      </c>
      <c r="E9" s="37">
        <f>IFERROR(C9/SUM(C5:C9),0)</f>
        <v>0</v>
      </c>
    </row>
    <row r="10" ht="21.75" customHeight="1">
      <c r="B10" s="42" t="s">
        <v>60</v>
      </c>
      <c r="C10" s="43">
        <f t="shared" ref="C10:D10" si="1">SUM(C5:C9)</f>
        <v>13</v>
      </c>
      <c r="D10" s="44">
        <f t="shared" si="1"/>
        <v>1</v>
      </c>
      <c r="E10" s="45" t="s">
        <v>61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9.5" customHeight="1">
      <c r="B32" s="46" t="s">
        <v>62</v>
      </c>
      <c r="C32" s="2"/>
      <c r="D32" s="2"/>
      <c r="E32" s="3"/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:E2"/>
    <mergeCell ref="B32:E32"/>
  </mergeCells>
  <conditionalFormatting sqref="D5:D9">
    <cfRule type="colorScale" priority="1">
      <colorScale>
        <cfvo type="formula" val="0"/>
        <cfvo type="formula" val="0.692"/>
        <color rgb="FFFFFFFF"/>
        <color rgb="FF2E75B6"/>
      </colorScale>
    </cfRule>
  </conditionalFormatting>
  <conditionalFormatting sqref="B5:E9">
    <cfRule type="expression" dxfId="0" priority="2">
      <formula>$C5=MAX($C$5:$C$9)</formula>
    </cfRule>
  </conditionalFormatting>
  <printOptions/>
  <pageMargins bottom="0.75" footer="0.0" header="0.0" left="0.5" right="0.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22.0"/>
    <col customWidth="1" min="6" max="6" width="2.0"/>
    <col customWidth="1" min="7" max="26" width="8.71"/>
  </cols>
  <sheetData>
    <row r="1" ht="25.5" customHeight="1">
      <c r="B1" s="32" t="s">
        <v>63</v>
      </c>
      <c r="C1" s="2"/>
      <c r="D1" s="2"/>
      <c r="E1" s="3"/>
    </row>
    <row r="2" ht="21.75" customHeight="1">
      <c r="B2" s="33" t="s">
        <v>64</v>
      </c>
      <c r="C2" s="2"/>
      <c r="D2" s="2"/>
      <c r="E2" s="3"/>
    </row>
    <row r="3" ht="18.0" customHeight="1"/>
    <row r="4" ht="27.75" customHeight="1">
      <c r="B4" s="21" t="s">
        <v>52</v>
      </c>
      <c r="C4" s="21" t="s">
        <v>53</v>
      </c>
      <c r="D4" s="21" t="s">
        <v>54</v>
      </c>
      <c r="E4" s="21" t="s">
        <v>55</v>
      </c>
    </row>
    <row r="5" ht="19.5" customHeight="1">
      <c r="B5" s="34" t="s">
        <v>65</v>
      </c>
      <c r="C5" s="35">
        <v>0.0</v>
      </c>
      <c r="D5" s="36">
        <v>0.0</v>
      </c>
      <c r="E5" s="37">
        <f>IFERROR(C5/SUM(C5:C9),0)</f>
        <v>0</v>
      </c>
    </row>
    <row r="6" ht="19.5" customHeight="1">
      <c r="B6" s="38" t="s">
        <v>66</v>
      </c>
      <c r="C6" s="39">
        <v>3.0</v>
      </c>
      <c r="D6" s="40">
        <v>0.231</v>
      </c>
      <c r="E6" s="41">
        <f>IFERROR(C6/SUM(C5:C9),0)</f>
        <v>0.2307692308</v>
      </c>
    </row>
    <row r="7" ht="19.5" customHeight="1">
      <c r="B7" s="34" t="s">
        <v>67</v>
      </c>
      <c r="C7" s="35">
        <v>0.0</v>
      </c>
      <c r="D7" s="36">
        <v>0.0</v>
      </c>
      <c r="E7" s="37">
        <f>IFERROR(C7/SUM(C5:C9),0)</f>
        <v>0</v>
      </c>
    </row>
    <row r="8" ht="19.5" customHeight="1">
      <c r="B8" s="38" t="s">
        <v>68</v>
      </c>
      <c r="C8" s="39">
        <v>1.0</v>
      </c>
      <c r="D8" s="40">
        <v>0.077</v>
      </c>
      <c r="E8" s="41">
        <f>IFERROR(C8/SUM(C5:C9),0)</f>
        <v>0.07692307692</v>
      </c>
    </row>
    <row r="9" ht="19.5" customHeight="1">
      <c r="B9" s="34" t="s">
        <v>20</v>
      </c>
      <c r="C9" s="35">
        <v>9.0</v>
      </c>
      <c r="D9" s="36">
        <v>0.6920000000000001</v>
      </c>
      <c r="E9" s="37">
        <f>IFERROR(C9/SUM(C5:C9),0)</f>
        <v>0.6923076923</v>
      </c>
    </row>
    <row r="10" ht="21.75" customHeight="1">
      <c r="B10" s="42" t="s">
        <v>60</v>
      </c>
      <c r="C10" s="43">
        <f t="shared" ref="C10:D10" si="1">SUM(C5:C9)</f>
        <v>13</v>
      </c>
      <c r="D10" s="44">
        <f t="shared" si="1"/>
        <v>1</v>
      </c>
      <c r="E10" s="45" t="s">
        <v>61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1:E1"/>
    <mergeCell ref="B2:E2"/>
  </mergeCells>
  <conditionalFormatting sqref="D5:D9">
    <cfRule type="colorScale" priority="1">
      <colorScale>
        <cfvo type="formula" val="0"/>
        <cfvo type="formula" val="0.692"/>
        <color rgb="FFFFFFFF"/>
        <color rgb="FF2E75B6"/>
      </colorScale>
    </cfRule>
  </conditionalFormatting>
  <conditionalFormatting sqref="B5:E9">
    <cfRule type="expression" dxfId="0" priority="2">
      <formula>$C5=MAX($C$5:$C$9)</formula>
    </cfRule>
  </conditionalFormatting>
  <printOptions/>
  <pageMargins bottom="0.75" footer="0.0" header="0.0" left="0.5" right="0.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22.0"/>
    <col customWidth="1" min="6" max="6" width="2.0"/>
    <col customWidth="1" min="7" max="26" width="8.71"/>
  </cols>
  <sheetData>
    <row r="1" ht="25.5" customHeight="1">
      <c r="B1" s="32" t="s">
        <v>69</v>
      </c>
      <c r="C1" s="2"/>
      <c r="D1" s="2"/>
      <c r="E1" s="3"/>
    </row>
    <row r="2" ht="21.75" customHeight="1">
      <c r="B2" s="33" t="s">
        <v>70</v>
      </c>
      <c r="C2" s="2"/>
      <c r="D2" s="2"/>
      <c r="E2" s="3"/>
    </row>
    <row r="3" ht="18.0" customHeight="1"/>
    <row r="4" ht="27.75" customHeight="1">
      <c r="B4" s="21" t="s">
        <v>52</v>
      </c>
      <c r="C4" s="21" t="s">
        <v>53</v>
      </c>
      <c r="D4" s="21" t="s">
        <v>54</v>
      </c>
      <c r="E4" s="21" t="s">
        <v>55</v>
      </c>
    </row>
    <row r="5" ht="19.5" customHeight="1">
      <c r="B5" s="34" t="s">
        <v>71</v>
      </c>
      <c r="C5" s="35">
        <v>4.0</v>
      </c>
      <c r="D5" s="36">
        <v>0.308</v>
      </c>
      <c r="E5" s="37">
        <f>IFERROR(C5/SUM(C5:C9),0)</f>
        <v>0.3076923077</v>
      </c>
    </row>
    <row r="6" ht="19.5" customHeight="1">
      <c r="B6" s="38" t="s">
        <v>72</v>
      </c>
      <c r="C6" s="39">
        <v>1.0</v>
      </c>
      <c r="D6" s="40">
        <v>0.077</v>
      </c>
      <c r="E6" s="41">
        <f>IFERROR(C6/SUM(C5:C9),0)</f>
        <v>0.07692307692</v>
      </c>
    </row>
    <row r="7" ht="19.5" customHeight="1">
      <c r="B7" s="34" t="s">
        <v>23</v>
      </c>
      <c r="C7" s="35">
        <v>7.0</v>
      </c>
      <c r="D7" s="36">
        <v>0.5379999999999999</v>
      </c>
      <c r="E7" s="37">
        <f>IFERROR(C7/SUM(C5:C9),0)</f>
        <v>0.5384615385</v>
      </c>
    </row>
    <row r="8" ht="19.5" customHeight="1">
      <c r="B8" s="38" t="s">
        <v>73</v>
      </c>
      <c r="C8" s="39">
        <v>0.0</v>
      </c>
      <c r="D8" s="40">
        <v>0.0</v>
      </c>
      <c r="E8" s="41">
        <f>IFERROR(C8/SUM(C5:C9),0)</f>
        <v>0</v>
      </c>
    </row>
    <row r="9" ht="19.5" customHeight="1">
      <c r="B9" s="34" t="s">
        <v>59</v>
      </c>
      <c r="C9" s="35">
        <v>1.0</v>
      </c>
      <c r="D9" s="36">
        <v>0.077</v>
      </c>
      <c r="E9" s="37">
        <f>IFERROR(C9/SUM(C5:C9),0)</f>
        <v>0.07692307692</v>
      </c>
    </row>
    <row r="10" ht="21.75" customHeight="1">
      <c r="B10" s="42" t="s">
        <v>60</v>
      </c>
      <c r="C10" s="43">
        <f t="shared" ref="C10:D10" si="1">SUM(C5:C9)</f>
        <v>13</v>
      </c>
      <c r="D10" s="44">
        <f t="shared" si="1"/>
        <v>1</v>
      </c>
      <c r="E10" s="45" t="s">
        <v>61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9.5" customHeight="1">
      <c r="B32" s="46" t="s">
        <v>62</v>
      </c>
      <c r="C32" s="2"/>
      <c r="D32" s="2"/>
      <c r="E32" s="3"/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:E2"/>
    <mergeCell ref="B32:E32"/>
  </mergeCells>
  <conditionalFormatting sqref="D5:D9">
    <cfRule type="colorScale" priority="1">
      <colorScale>
        <cfvo type="formula" val="0"/>
        <cfvo type="formula" val="0.692"/>
        <color rgb="FFFFFFFF"/>
        <color rgb="FF2E75B6"/>
      </colorScale>
    </cfRule>
  </conditionalFormatting>
  <conditionalFormatting sqref="B5:E9">
    <cfRule type="expression" dxfId="0" priority="2">
      <formula>$C5=MAX($C$5:$C$9)</formula>
    </cfRule>
  </conditionalFormatting>
  <printOptions/>
  <pageMargins bottom="0.75" footer="0.0" header="0.0" left="0.5" right="0.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22.0"/>
    <col customWidth="1" min="6" max="6" width="2.0"/>
    <col customWidth="1" min="7" max="26" width="8.71"/>
  </cols>
  <sheetData>
    <row r="1" ht="25.5" customHeight="1">
      <c r="B1" s="32" t="s">
        <v>74</v>
      </c>
      <c r="C1" s="2"/>
      <c r="D1" s="2"/>
      <c r="E1" s="3"/>
    </row>
    <row r="2" ht="21.75" customHeight="1">
      <c r="B2" s="33" t="s">
        <v>75</v>
      </c>
      <c r="C2" s="2"/>
      <c r="D2" s="2"/>
      <c r="E2" s="3"/>
    </row>
    <row r="3" ht="18.0" customHeight="1"/>
    <row r="4" ht="27.75" customHeight="1">
      <c r="B4" s="21" t="s">
        <v>52</v>
      </c>
      <c r="C4" s="21" t="s">
        <v>53</v>
      </c>
      <c r="D4" s="21" t="s">
        <v>54</v>
      </c>
      <c r="E4" s="21" t="s">
        <v>55</v>
      </c>
    </row>
    <row r="5" ht="19.5" customHeight="1">
      <c r="B5" s="34" t="s">
        <v>76</v>
      </c>
      <c r="C5" s="35">
        <v>4.0</v>
      </c>
      <c r="D5" s="36">
        <v>0.308</v>
      </c>
      <c r="E5" s="37">
        <f>IFERROR(C5/SUM(C5:C9),0)</f>
        <v>0.3076923077</v>
      </c>
    </row>
    <row r="6" ht="19.5" customHeight="1">
      <c r="B6" s="38" t="s">
        <v>77</v>
      </c>
      <c r="C6" s="39">
        <v>3.0</v>
      </c>
      <c r="D6" s="40">
        <v>0.231</v>
      </c>
      <c r="E6" s="41">
        <f>IFERROR(C6/SUM(C5:C9),0)</f>
        <v>0.2307692308</v>
      </c>
    </row>
    <row r="7" ht="19.5" customHeight="1">
      <c r="B7" s="34" t="s">
        <v>78</v>
      </c>
      <c r="C7" s="35">
        <v>5.0</v>
      </c>
      <c r="D7" s="36">
        <v>0.384</v>
      </c>
      <c r="E7" s="37">
        <f>IFERROR(C7/SUM(C5:C9),0)</f>
        <v>0.3846153846</v>
      </c>
    </row>
    <row r="8" ht="19.5" customHeight="1">
      <c r="B8" s="38" t="s">
        <v>79</v>
      </c>
      <c r="C8" s="39">
        <v>1.0</v>
      </c>
      <c r="D8" s="40">
        <v>0.077</v>
      </c>
      <c r="E8" s="41">
        <f>IFERROR(C8/SUM(C5:C9),0)</f>
        <v>0.07692307692</v>
      </c>
    </row>
    <row r="9" ht="19.5" customHeight="1">
      <c r="B9" s="34" t="s">
        <v>80</v>
      </c>
      <c r="C9" s="35">
        <v>0.0</v>
      </c>
      <c r="D9" s="36">
        <v>0.0</v>
      </c>
      <c r="E9" s="37">
        <f>IFERROR(C9/SUM(C5:C9),0)</f>
        <v>0</v>
      </c>
    </row>
    <row r="10" ht="21.75" customHeight="1">
      <c r="B10" s="42" t="s">
        <v>60</v>
      </c>
      <c r="C10" s="43">
        <f t="shared" ref="C10:D10" si="1">SUM(C5:C9)</f>
        <v>13</v>
      </c>
      <c r="D10" s="44">
        <f t="shared" si="1"/>
        <v>1</v>
      </c>
      <c r="E10" s="45" t="s">
        <v>61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9.5" customHeight="1">
      <c r="B32" s="46" t="s">
        <v>62</v>
      </c>
      <c r="C32" s="2"/>
      <c r="D32" s="2"/>
      <c r="E32" s="3"/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:E2"/>
    <mergeCell ref="B32:E32"/>
  </mergeCells>
  <conditionalFormatting sqref="D5:D9">
    <cfRule type="colorScale" priority="1">
      <colorScale>
        <cfvo type="formula" val="0"/>
        <cfvo type="formula" val="0.692"/>
        <color rgb="FFFFFFFF"/>
        <color rgb="FF2E75B6"/>
      </colorScale>
    </cfRule>
  </conditionalFormatting>
  <conditionalFormatting sqref="B5:E9">
    <cfRule type="expression" dxfId="0" priority="2">
      <formula>$C5=MAX($C$5:$C$9)</formula>
    </cfRule>
  </conditionalFormatting>
  <printOptions/>
  <pageMargins bottom="0.75" footer="0.0" header="0.0" left="0.5" right="0.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22.0"/>
    <col customWidth="1" min="6" max="6" width="2.0"/>
    <col customWidth="1" min="7" max="26" width="8.71"/>
  </cols>
  <sheetData>
    <row r="1" ht="25.5" customHeight="1">
      <c r="B1" s="32" t="s">
        <v>81</v>
      </c>
      <c r="C1" s="2"/>
      <c r="D1" s="2"/>
      <c r="E1" s="3"/>
    </row>
    <row r="2" ht="21.75" customHeight="1">
      <c r="B2" s="33" t="s">
        <v>82</v>
      </c>
      <c r="C2" s="2"/>
      <c r="D2" s="2"/>
      <c r="E2" s="3"/>
    </row>
    <row r="3" ht="18.0" customHeight="1"/>
    <row r="4" ht="27.75" customHeight="1">
      <c r="B4" s="21" t="s">
        <v>52</v>
      </c>
      <c r="C4" s="21" t="s">
        <v>53</v>
      </c>
      <c r="D4" s="21" t="s">
        <v>54</v>
      </c>
      <c r="E4" s="21" t="s">
        <v>55</v>
      </c>
    </row>
    <row r="5" ht="19.5" customHeight="1">
      <c r="B5" s="34" t="s">
        <v>83</v>
      </c>
      <c r="C5" s="35">
        <v>0.0</v>
      </c>
      <c r="D5" s="36">
        <v>0.0</v>
      </c>
      <c r="E5" s="37">
        <f>IFERROR(C5/SUM(C5:C9),0)</f>
        <v>0</v>
      </c>
    </row>
    <row r="6" ht="19.5" customHeight="1">
      <c r="B6" s="38" t="s">
        <v>84</v>
      </c>
      <c r="C6" s="39">
        <v>1.0</v>
      </c>
      <c r="D6" s="40">
        <v>0.077</v>
      </c>
      <c r="E6" s="41">
        <f>IFERROR(C6/SUM(C5:C9),0)</f>
        <v>0.07692307692</v>
      </c>
    </row>
    <row r="7" ht="19.5" customHeight="1">
      <c r="B7" s="34" t="s">
        <v>85</v>
      </c>
      <c r="C7" s="35">
        <v>3.0</v>
      </c>
      <c r="D7" s="36">
        <v>0.231</v>
      </c>
      <c r="E7" s="37">
        <f>IFERROR(C7/SUM(C5:C9),0)</f>
        <v>0.2307692308</v>
      </c>
    </row>
    <row r="8" ht="19.5" customHeight="1">
      <c r="B8" s="38" t="s">
        <v>4</v>
      </c>
      <c r="C8" s="39">
        <v>9.0</v>
      </c>
      <c r="D8" s="40">
        <v>0.6920000000000001</v>
      </c>
      <c r="E8" s="41">
        <f>IFERROR(C8/SUM(C5:C9),0)</f>
        <v>0.6923076923</v>
      </c>
    </row>
    <row r="9" ht="19.5" customHeight="1">
      <c r="B9" s="34" t="s">
        <v>59</v>
      </c>
      <c r="C9" s="35">
        <v>0.0</v>
      </c>
      <c r="D9" s="36">
        <v>0.0</v>
      </c>
      <c r="E9" s="37">
        <f>IFERROR(C9/SUM(C5:C9),0)</f>
        <v>0</v>
      </c>
    </row>
    <row r="10" ht="21.75" customHeight="1">
      <c r="B10" s="42" t="s">
        <v>60</v>
      </c>
      <c r="C10" s="43">
        <f t="shared" ref="C10:D10" si="1">SUM(C5:C9)</f>
        <v>13</v>
      </c>
      <c r="D10" s="44">
        <f t="shared" si="1"/>
        <v>1</v>
      </c>
      <c r="E10" s="45" t="s">
        <v>61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9.5" customHeight="1">
      <c r="B32" s="46"/>
      <c r="C32" s="2"/>
      <c r="D32" s="2"/>
      <c r="E32" s="3"/>
    </row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:E2"/>
    <mergeCell ref="B32:E32"/>
  </mergeCells>
  <conditionalFormatting sqref="D5:D9">
    <cfRule type="colorScale" priority="1">
      <colorScale>
        <cfvo type="formula" val="0"/>
        <cfvo type="formula" val="0.692"/>
        <color rgb="FFFFFFFF"/>
        <color rgb="FF2E75B6"/>
      </colorScale>
    </cfRule>
  </conditionalFormatting>
  <conditionalFormatting sqref="B5:E9">
    <cfRule type="expression" dxfId="0" priority="2">
      <formula>$C5=MAX($C$5:$C$9)</formula>
    </cfRule>
  </conditionalFormatting>
  <printOptions/>
  <pageMargins bottom="0.75" footer="0.0" header="0.0" left="0.5" right="0.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22.0"/>
    <col customWidth="1" min="6" max="6" width="2.0"/>
    <col customWidth="1" min="7" max="26" width="8.71"/>
  </cols>
  <sheetData>
    <row r="1" ht="25.5" customHeight="1">
      <c r="B1" s="32" t="s">
        <v>86</v>
      </c>
      <c r="C1" s="2"/>
      <c r="D1" s="2"/>
      <c r="E1" s="3"/>
    </row>
    <row r="2" ht="21.75" customHeight="1">
      <c r="B2" s="33" t="s">
        <v>87</v>
      </c>
      <c r="C2" s="2"/>
      <c r="D2" s="2"/>
      <c r="E2" s="3"/>
    </row>
    <row r="3" ht="18.0" customHeight="1"/>
    <row r="4" ht="27.75" customHeight="1">
      <c r="B4" s="21" t="s">
        <v>52</v>
      </c>
      <c r="C4" s="21" t="s">
        <v>53</v>
      </c>
      <c r="D4" s="21" t="s">
        <v>54</v>
      </c>
      <c r="E4" s="21" t="s">
        <v>55</v>
      </c>
    </row>
    <row r="5" ht="19.5" customHeight="1">
      <c r="B5" s="34" t="s">
        <v>88</v>
      </c>
      <c r="C5" s="35">
        <v>0.0</v>
      </c>
      <c r="D5" s="36">
        <v>0.0</v>
      </c>
      <c r="E5" s="37">
        <f>IFERROR(C5/SUM(C5:C9),0)</f>
        <v>0</v>
      </c>
    </row>
    <row r="6" ht="19.5" customHeight="1">
      <c r="B6" s="38" t="s">
        <v>89</v>
      </c>
      <c r="C6" s="39">
        <v>0.0</v>
      </c>
      <c r="D6" s="40">
        <v>0.0</v>
      </c>
      <c r="E6" s="41">
        <f>IFERROR(C6/SUM(C5:C9),0)</f>
        <v>0</v>
      </c>
    </row>
    <row r="7" ht="19.5" customHeight="1">
      <c r="B7" s="34" t="s">
        <v>90</v>
      </c>
      <c r="C7" s="35">
        <v>1.0</v>
      </c>
      <c r="D7" s="36">
        <v>0.077</v>
      </c>
      <c r="E7" s="37">
        <f>IFERROR(C7/SUM(C5:C9),0)</f>
        <v>0.07692307692</v>
      </c>
    </row>
    <row r="8" ht="19.5" customHeight="1">
      <c r="B8" s="38" t="s">
        <v>31</v>
      </c>
      <c r="C8" s="39">
        <v>9.0</v>
      </c>
      <c r="D8" s="40">
        <v>0.6920000000000001</v>
      </c>
      <c r="E8" s="41">
        <f>IFERROR(C8/SUM(C5:C9),0)</f>
        <v>0.6923076923</v>
      </c>
    </row>
    <row r="9" ht="19.5" customHeight="1">
      <c r="B9" s="34" t="s">
        <v>59</v>
      </c>
      <c r="C9" s="35">
        <v>3.0</v>
      </c>
      <c r="D9" s="36">
        <v>0.231</v>
      </c>
      <c r="E9" s="37">
        <f>IFERROR(C9/SUM(C5:C9),0)</f>
        <v>0.2307692308</v>
      </c>
    </row>
    <row r="10" ht="21.75" customHeight="1">
      <c r="B10" s="42" t="s">
        <v>60</v>
      </c>
      <c r="C10" s="43">
        <f t="shared" ref="C10:D10" si="1">SUM(C5:C9)</f>
        <v>13</v>
      </c>
      <c r="D10" s="44">
        <f t="shared" si="1"/>
        <v>1</v>
      </c>
      <c r="E10" s="45" t="s">
        <v>61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1:E1"/>
    <mergeCell ref="B2:E2"/>
  </mergeCells>
  <conditionalFormatting sqref="D5:D9">
    <cfRule type="colorScale" priority="1">
      <colorScale>
        <cfvo type="formula" val="0"/>
        <cfvo type="formula" val="0.692"/>
        <color rgb="FFFFFFFF"/>
        <color rgb="FF2E75B6"/>
      </colorScale>
    </cfRule>
  </conditionalFormatting>
  <conditionalFormatting sqref="B5:E9">
    <cfRule type="expression" dxfId="0" priority="2">
      <formula>$C5=MAX($C$5:$C$9)</formula>
    </cfRule>
  </conditionalFormatting>
  <printOptions/>
  <pageMargins bottom="0.75" footer="0.0" header="0.0" left="0.5" right="0.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4" width="32.0"/>
    <col customWidth="1" min="5" max="5" width="16.0"/>
    <col customWidth="1" min="6" max="8" width="12.0"/>
    <col customWidth="1" min="9" max="9" width="32.0"/>
    <col customWidth="1" min="10" max="26" width="8.71"/>
  </cols>
  <sheetData>
    <row r="1" ht="27.75" customHeight="1">
      <c r="B1" s="47" t="s">
        <v>91</v>
      </c>
      <c r="C1" s="2"/>
      <c r="D1" s="2"/>
      <c r="E1" s="2"/>
      <c r="F1" s="2"/>
      <c r="G1" s="2"/>
      <c r="H1" s="2"/>
      <c r="I1" s="3"/>
    </row>
    <row r="2" ht="19.5" customHeight="1">
      <c r="B2" s="48" t="s">
        <v>92</v>
      </c>
      <c r="C2" s="2"/>
      <c r="D2" s="2"/>
      <c r="E2" s="2"/>
      <c r="F2" s="2"/>
      <c r="G2" s="2"/>
      <c r="H2" s="2"/>
      <c r="I2" s="3"/>
    </row>
    <row r="3" ht="18.0" customHeight="1"/>
    <row r="4" ht="39.75" customHeight="1">
      <c r="B4" s="49" t="s">
        <v>93</v>
      </c>
      <c r="C4" s="49" t="s">
        <v>94</v>
      </c>
      <c r="D4" s="49" t="s">
        <v>95</v>
      </c>
      <c r="E4" s="49" t="s">
        <v>96</v>
      </c>
      <c r="F4" s="49" t="s">
        <v>97</v>
      </c>
      <c r="G4" s="49" t="s">
        <v>98</v>
      </c>
      <c r="H4" s="49" t="s">
        <v>99</v>
      </c>
      <c r="I4" s="49" t="s">
        <v>100</v>
      </c>
    </row>
    <row r="5" ht="79.5" customHeight="1">
      <c r="B5" s="50" t="s">
        <v>39</v>
      </c>
      <c r="C5" s="50" t="s">
        <v>101</v>
      </c>
      <c r="D5" s="50" t="s">
        <v>102</v>
      </c>
      <c r="E5" s="51">
        <v>3.0</v>
      </c>
      <c r="F5" s="51">
        <v>3.0</v>
      </c>
      <c r="G5" s="52">
        <f t="shared" ref="G5:G8" si="1">E5*F5</f>
        <v>9</v>
      </c>
      <c r="H5" s="28" t="s">
        <v>40</v>
      </c>
      <c r="I5" s="50" t="s">
        <v>103</v>
      </c>
    </row>
    <row r="6" ht="79.5" customHeight="1">
      <c r="B6" s="53" t="s">
        <v>42</v>
      </c>
      <c r="C6" s="53" t="s">
        <v>104</v>
      </c>
      <c r="D6" s="53" t="s">
        <v>105</v>
      </c>
      <c r="E6" s="54">
        <v>2.0</v>
      </c>
      <c r="F6" s="54">
        <v>3.0</v>
      </c>
      <c r="G6" s="55">
        <f t="shared" si="1"/>
        <v>6</v>
      </c>
      <c r="H6" s="29" t="s">
        <v>43</v>
      </c>
      <c r="I6" s="53" t="s">
        <v>106</v>
      </c>
    </row>
    <row r="7" ht="79.5" customHeight="1">
      <c r="B7" s="50" t="s">
        <v>44</v>
      </c>
      <c r="C7" s="50" t="s">
        <v>107</v>
      </c>
      <c r="D7" s="50" t="s">
        <v>108</v>
      </c>
      <c r="E7" s="51">
        <v>2.0</v>
      </c>
      <c r="F7" s="51">
        <v>2.0</v>
      </c>
      <c r="G7" s="52">
        <f t="shared" si="1"/>
        <v>4</v>
      </c>
      <c r="H7" s="30" t="s">
        <v>45</v>
      </c>
      <c r="I7" s="50" t="s">
        <v>109</v>
      </c>
    </row>
    <row r="8" ht="79.5" customHeight="1">
      <c r="B8" s="53" t="s">
        <v>47</v>
      </c>
      <c r="C8" s="53" t="s">
        <v>110</v>
      </c>
      <c r="D8" s="53" t="s">
        <v>111</v>
      </c>
      <c r="E8" s="54">
        <v>3.0</v>
      </c>
      <c r="F8" s="54">
        <v>3.0</v>
      </c>
      <c r="G8" s="55">
        <f t="shared" si="1"/>
        <v>9</v>
      </c>
      <c r="H8" s="28" t="s">
        <v>40</v>
      </c>
      <c r="I8" s="53" t="s">
        <v>112</v>
      </c>
    </row>
    <row r="9" ht="18.0" customHeight="1"/>
    <row r="10" ht="19.5" customHeight="1">
      <c r="B10" s="56" t="s">
        <v>113</v>
      </c>
      <c r="C10" s="2"/>
      <c r="D10" s="2"/>
      <c r="E10" s="2"/>
      <c r="F10" s="2"/>
      <c r="G10" s="2"/>
      <c r="H10" s="2"/>
      <c r="I10" s="3"/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9.5" customHeight="1">
      <c r="B30" s="46"/>
      <c r="C30" s="2"/>
      <c r="D30" s="2"/>
      <c r="E30" s="2"/>
      <c r="F30" s="2"/>
      <c r="G30" s="2"/>
      <c r="H30" s="2"/>
      <c r="I30" s="3"/>
    </row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B2:I2"/>
    <mergeCell ref="B10:I10"/>
    <mergeCell ref="B30:I30"/>
  </mergeCells>
  <conditionalFormatting sqref="G5:G8">
    <cfRule type="colorScale" priority="1">
      <colorScale>
        <cfvo type="formula" val="1"/>
        <cfvo type="formula" val="4"/>
        <cfvo type="formula" val="9"/>
        <color rgb="FF00B050"/>
        <color rgb="FFFFD700"/>
        <color rgb="FFFF0000"/>
      </colorScale>
    </cfRule>
  </conditionalFormatting>
  <conditionalFormatting sqref="E5:F8">
    <cfRule type="colorScale" priority="2">
      <colorScale>
        <cfvo type="formula" val="1"/>
        <cfvo type="formula" val="2"/>
        <cfvo type="formula" val="3"/>
        <color rgb="FF00B050"/>
        <color rgb="FFFFD700"/>
        <color rgb="FFFF0000"/>
      </colorScale>
    </cfRule>
  </conditionalFormatting>
  <printOptions/>
  <pageMargins bottom="0.75" footer="0.0" header="0.0" left="0.5" right="0.5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30.0"/>
    <col customWidth="1" min="3" max="7" width="16.0"/>
    <col customWidth="1" min="8" max="26" width="8.71"/>
  </cols>
  <sheetData>
    <row r="1" ht="25.5" customHeight="1">
      <c r="B1" s="57" t="s">
        <v>114</v>
      </c>
      <c r="C1" s="2"/>
      <c r="D1" s="2"/>
      <c r="E1" s="2"/>
      <c r="F1" s="2"/>
      <c r="G1" s="3"/>
    </row>
    <row r="2" ht="19.5" customHeight="1">
      <c r="B2" s="58" t="s">
        <v>115</v>
      </c>
      <c r="C2" s="2"/>
      <c r="D2" s="2"/>
      <c r="E2" s="2"/>
      <c r="F2" s="2"/>
      <c r="G2" s="3"/>
    </row>
    <row r="3" ht="18.0" customHeight="1"/>
    <row r="4" ht="27.75" customHeight="1">
      <c r="B4" s="59" t="s">
        <v>116</v>
      </c>
      <c r="C4" s="59" t="s">
        <v>12</v>
      </c>
      <c r="D4" s="59" t="s">
        <v>13</v>
      </c>
      <c r="E4" s="59" t="s">
        <v>117</v>
      </c>
      <c r="F4" s="59" t="s">
        <v>118</v>
      </c>
      <c r="G4" s="59" t="s">
        <v>119</v>
      </c>
    </row>
    <row r="5" ht="21.75" customHeight="1">
      <c r="B5" s="60" t="s">
        <v>120</v>
      </c>
      <c r="C5" s="60" t="s">
        <v>17</v>
      </c>
      <c r="D5" s="61">
        <v>9.0</v>
      </c>
      <c r="E5" s="62">
        <v>0.692</v>
      </c>
      <c r="F5" s="61" t="s">
        <v>58</v>
      </c>
      <c r="G5" s="62">
        <v>0.231</v>
      </c>
    </row>
    <row r="6" ht="21.75" customHeight="1">
      <c r="B6" s="25" t="s">
        <v>121</v>
      </c>
      <c r="C6" s="25" t="s">
        <v>20</v>
      </c>
      <c r="D6" s="26">
        <v>9.0</v>
      </c>
      <c r="E6" s="63">
        <v>0.692</v>
      </c>
      <c r="F6" s="26" t="s">
        <v>122</v>
      </c>
      <c r="G6" s="63">
        <v>0.231</v>
      </c>
    </row>
    <row r="7" ht="21.75" customHeight="1">
      <c r="B7" s="60" t="s">
        <v>123</v>
      </c>
      <c r="C7" s="60" t="s">
        <v>23</v>
      </c>
      <c r="D7" s="61">
        <v>7.0</v>
      </c>
      <c r="E7" s="62">
        <v>0.538</v>
      </c>
      <c r="F7" s="61" t="s">
        <v>71</v>
      </c>
      <c r="G7" s="62">
        <v>0.308</v>
      </c>
    </row>
    <row r="8" ht="21.75" customHeight="1">
      <c r="B8" s="25" t="s">
        <v>124</v>
      </c>
      <c r="C8" s="25" t="s">
        <v>26</v>
      </c>
      <c r="D8" s="26">
        <v>5.0</v>
      </c>
      <c r="E8" s="63">
        <v>0.384</v>
      </c>
      <c r="F8" s="26" t="s">
        <v>76</v>
      </c>
      <c r="G8" s="63">
        <v>0.308</v>
      </c>
    </row>
    <row r="9" ht="21.75" customHeight="1">
      <c r="B9" s="60" t="s">
        <v>125</v>
      </c>
      <c r="C9" s="60" t="s">
        <v>4</v>
      </c>
      <c r="D9" s="61">
        <v>9.0</v>
      </c>
      <c r="E9" s="62">
        <v>0.692</v>
      </c>
      <c r="F9" s="61" t="s">
        <v>85</v>
      </c>
      <c r="G9" s="62">
        <v>0.231</v>
      </c>
    </row>
    <row r="10" ht="21.75" customHeight="1">
      <c r="B10" s="25" t="s">
        <v>126</v>
      </c>
      <c r="C10" s="25" t="s">
        <v>31</v>
      </c>
      <c r="D10" s="26">
        <v>9.0</v>
      </c>
      <c r="E10" s="63">
        <v>0.692</v>
      </c>
      <c r="F10" s="26" t="s">
        <v>59</v>
      </c>
      <c r="G10" s="63">
        <v>0.231</v>
      </c>
    </row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4" width="40.0"/>
    <col customWidth="1" min="5" max="5" width="2.0"/>
    <col customWidth="1" min="6" max="26" width="8.71"/>
  </cols>
  <sheetData>
    <row r="1" ht="25.5" customHeight="1">
      <c r="B1" s="64" t="s">
        <v>127</v>
      </c>
      <c r="C1" s="2"/>
      <c r="D1" s="3"/>
    </row>
    <row r="2" ht="19.5" customHeight="1">
      <c r="B2" s="65" t="s">
        <v>128</v>
      </c>
      <c r="C2" s="2"/>
      <c r="D2" s="3"/>
    </row>
    <row r="3" ht="18.0" customHeight="1"/>
    <row r="4" ht="27.75" customHeight="1">
      <c r="B4" s="66" t="s">
        <v>129</v>
      </c>
      <c r="C4" s="66" t="s">
        <v>130</v>
      </c>
      <c r="D4" s="66" t="s">
        <v>131</v>
      </c>
    </row>
    <row r="5" ht="69.75" customHeight="1">
      <c r="B5" s="67" t="s">
        <v>39</v>
      </c>
      <c r="C5" s="68" t="s">
        <v>132</v>
      </c>
      <c r="D5" s="68" t="s">
        <v>133</v>
      </c>
    </row>
    <row r="6" ht="69.75" customHeight="1">
      <c r="B6" s="69" t="s">
        <v>42</v>
      </c>
      <c r="C6" s="53" t="s">
        <v>134</v>
      </c>
      <c r="D6" s="53" t="s">
        <v>135</v>
      </c>
    </row>
    <row r="7" ht="69.75" customHeight="1">
      <c r="B7" s="67" t="s">
        <v>44</v>
      </c>
      <c r="C7" s="68" t="s">
        <v>136</v>
      </c>
      <c r="D7" s="68" t="s">
        <v>137</v>
      </c>
    </row>
    <row r="8" ht="69.75" customHeight="1">
      <c r="B8" s="69" t="s">
        <v>47</v>
      </c>
      <c r="C8" s="53" t="s">
        <v>138</v>
      </c>
      <c r="D8" s="53" t="s">
        <v>139</v>
      </c>
    </row>
    <row r="9" ht="69.75" customHeight="1">
      <c r="B9" s="67" t="s">
        <v>140</v>
      </c>
      <c r="C9" s="68" t="s">
        <v>141</v>
      </c>
      <c r="D9" s="68" t="s">
        <v>142</v>
      </c>
    </row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2:D2"/>
  </mergeCells>
  <printOptions/>
  <pageMargins bottom="1.0" footer="0.0" header="0.0" left="0.75" right="0.75" top="1.0"/>
  <pageSetup orientation="landscape"/>
  <drawing r:id="rId1"/>
</worksheet>
</file>